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DATA Analy\"/>
    </mc:Choice>
  </mc:AlternateContent>
  <xr:revisionPtr revIDLastSave="0" documentId="13_ncr:1_{E3A5F124-D52D-4CEB-A16A-F8939BEE7EAE}" xr6:coauthVersionLast="47" xr6:coauthVersionMax="47" xr10:uidLastSave="{00000000-0000-0000-0000-000000000000}"/>
  <bookViews>
    <workbookView xWindow="-108" yWindow="-108" windowWidth="23256" windowHeight="12456" xr2:uid="{AEF4529B-5AFE-4C0D-8FCF-75354D3DAF13}"/>
  </bookViews>
  <sheets>
    <sheet name="Task 1" sheetId="1" r:id="rId1"/>
  </sheets>
  <calcPr calcId="191029"/>
</workbook>
</file>

<file path=xl/calcChain.xml><?xml version="1.0" encoding="utf-8"?>
<calcChain xmlns="http://schemas.openxmlformats.org/spreadsheetml/2006/main">
  <c r="C22" i="1" l="1"/>
  <c r="I2" i="1" l="1"/>
  <c r="I3" i="1"/>
  <c r="I4" i="1"/>
  <c r="I5" i="1"/>
  <c r="I6" i="1"/>
  <c r="I7" i="1"/>
  <c r="I8" i="1"/>
  <c r="I9" i="1"/>
  <c r="I10" i="1"/>
  <c r="I11" i="1"/>
  <c r="C16" i="1"/>
  <c r="C19" i="1" l="1"/>
  <c r="C18" i="1"/>
  <c r="C15" i="1"/>
  <c r="C27" i="1"/>
</calcChain>
</file>

<file path=xl/sharedStrings.xml><?xml version="1.0" encoding="utf-8"?>
<sst xmlns="http://schemas.openxmlformats.org/spreadsheetml/2006/main" count="78" uniqueCount="54">
  <si>
    <t>Order_ID</t>
  </si>
  <si>
    <t>Order_Date</t>
  </si>
  <si>
    <t>Customer_Name</t>
  </si>
  <si>
    <t>City</t>
  </si>
  <si>
    <t>Product</t>
  </si>
  <si>
    <t>Category</t>
  </si>
  <si>
    <t>Quantity</t>
  </si>
  <si>
    <t>Unit_Price</t>
  </si>
  <si>
    <t>Payment_Mode</t>
  </si>
  <si>
    <t>Ravi</t>
  </si>
  <si>
    <t>Chennai</t>
  </si>
  <si>
    <t>Laptop</t>
  </si>
  <si>
    <t>Electronics</t>
  </si>
  <si>
    <t>UPI</t>
  </si>
  <si>
    <t>Meena</t>
  </si>
  <si>
    <t>Bangalore</t>
  </si>
  <si>
    <t>Mobile</t>
  </si>
  <si>
    <t>Card</t>
  </si>
  <si>
    <t>Karthik</t>
  </si>
  <si>
    <t>Hyderabad</t>
  </si>
  <si>
    <t>Table</t>
  </si>
  <si>
    <t>Furniture</t>
  </si>
  <si>
    <t>Cash</t>
  </si>
  <si>
    <t>Divya</t>
  </si>
  <si>
    <t>Chair</t>
  </si>
  <si>
    <t>Suresh</t>
  </si>
  <si>
    <t>Mumbai</t>
  </si>
  <si>
    <t>Headphones</t>
  </si>
  <si>
    <t>Anitha</t>
  </si>
  <si>
    <t>15-01-2024</t>
  </si>
  <si>
    <t>Rahul</t>
  </si>
  <si>
    <t>18-01-2024</t>
  </si>
  <si>
    <t>Priya</t>
  </si>
  <si>
    <t>Sofa</t>
  </si>
  <si>
    <t>20-01-2024</t>
  </si>
  <si>
    <t>Vikram</t>
  </si>
  <si>
    <t>Tablet</t>
  </si>
  <si>
    <t>25-01-2024</t>
  </si>
  <si>
    <t>Lakshmi</t>
  </si>
  <si>
    <t>Count of Unit_Price</t>
  </si>
  <si>
    <t>1.    Find the total of a numeric column in your dataset.</t>
  </si>
  <si>
    <t>2.    Find the minimum and maximum values of that column.</t>
  </si>
  <si>
    <t>3.    Calculate the average of the selected column.</t>
  </si>
  <si>
    <t>4.    Create a new column to classify values as “High” or “Low” based on a chosen condition (for example: value &gt; 50 = High, otherwise Low).</t>
  </si>
  <si>
    <t>5.    Count how many numeric records are present in the column.</t>
  </si>
  <si>
    <t>Maximum Value</t>
  </si>
  <si>
    <t>Minimum Value</t>
  </si>
  <si>
    <t>High/ Low</t>
  </si>
  <si>
    <t>Refer to Column I</t>
  </si>
  <si>
    <t>Count</t>
  </si>
  <si>
    <t>Unit Price</t>
  </si>
  <si>
    <t>Total Sales</t>
  </si>
  <si>
    <t>Sales_Data</t>
  </si>
  <si>
    <t>Sales _Data 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</si>
</sst>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/>
        <bgColor indexed="64"/>
      </patternFill>
    </fill>
    <fill>
      <patternFill patternType="solid">
        <fgColor theme="4" tint="0.79998168889431442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8">
    <xf numFmtId="0" fontId="0" fillId="0" borderId="0" xfId="0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14" fontId="0" fillId="0" borderId="0" xfId="0" applyNumberFormat="1" applyBorder="1"/>
    <xf numFmtId="0" fontId="0" fillId="0" borderId="0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10" xfId="0" applyFont="1" applyFill="1" applyBorder="1"/>
    <xf numFmtId="0" fontId="0" fillId="0" borderId="0" xfId="0" applyFill="1"/>
    <xf numFmtId="0" fontId="13" fillId="0" borderId="11" xfId="0" applyFont="1" applyFill="1" applyBorder="1"/>
    <xf numFmtId="0" fontId="0" fillId="0" borderId="0" xfId="0" applyFont="1" applyBorder="1"/>
    <xf numFmtId="0" fontId="0" fillId="33" borderId="11" xfId="0" applyFont="1" applyFill="1" applyBorder="1"/>
    <xf numFmtId="0" fontId="0" fillId="33" borderId="10" xfId="0" applyFont="1" applyFill="1" applyBorder="1"/>
    <xf numFmtId="0" fontId="0" fillId="34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">
    <dxf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0" formatCode="General"/>
    </dxf>
    <dxf>
      <border diagonalUp="0" diagonalDown="0">
        <left style="medium">
          <color indexed="64"/>
        </left>
        <right/>
        <top/>
        <bottom/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E471F4C-95BA-46B8-906B-27164A4B600F}" name="ProductTable" displayName="ProductTable" ref="A1:K11" totalsRowShown="0">
  <tableColumns count="11">
    <tableColumn id="1" xr3:uid="{DEFB57B0-743E-4A41-89F3-335A1B39DB47}" name="Order_ID" dataDxfId="2"/>
    <tableColumn id="2" xr3:uid="{9E0C1B59-0261-45B0-91BE-A5627AAC017D}" name="Order_Date"/>
    <tableColumn id="3" xr3:uid="{6DFE072A-13C2-41DC-AD31-D8190FC75BCC}" name="Customer_Name"/>
    <tableColumn id="4" xr3:uid="{CF06FFB2-3F67-4F12-BF4D-A389D72EADDF}" name="City"/>
    <tableColumn id="5" xr3:uid="{52EC5165-E0B7-4913-AD4B-A7EE81040B0E}" name="Product"/>
    <tableColumn id="6" xr3:uid="{C0CBD0C6-63C3-4E9A-8014-F3121584DBA6}" name="Category"/>
    <tableColumn id="7" xr3:uid="{69230EA0-01F4-4E28-8BCF-7E0A7473DCEC}" name="Quantity"/>
    <tableColumn id="8" xr3:uid="{71E47A42-2973-4B8E-A531-7441CC13881E}" name="Unit_Price"/>
    <tableColumn id="16" xr3:uid="{17F56E4D-73A7-499C-A6A7-BD4EB6C74FD6}" name="High/ Low" dataDxfId="1">
      <calculatedColumnFormula>IF(ProductTable[[#This Row],[Unit_Price]]&gt;=20000,"High","Low")</calculatedColumnFormula>
    </tableColumn>
    <tableColumn id="9" xr3:uid="{17CB93A7-7AB4-492B-A7E6-988CDB50B676}" name="Sales_Data"/>
    <tableColumn id="10" xr3:uid="{1A020032-9567-4D5A-826F-8EA7A6059C7A}" name="Payment_Mode" dataDxfId="0"/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EDBF47-2EBB-44E3-B3B3-A94F2AC77CE6}">
  <dimension ref="A1:K29"/>
  <sheetViews>
    <sheetView tabSelected="1" workbookViewId="0">
      <selection activeCell="G21" sqref="G21"/>
    </sheetView>
  </sheetViews>
  <sheetFormatPr defaultRowHeight="14.4" x14ac:dyDescent="0.3"/>
  <cols>
    <col min="1" max="1" width="10.44140625" customWidth="1"/>
    <col min="2" max="2" width="17.6640625" bestFit="1" customWidth="1"/>
    <col min="3" max="3" width="17" customWidth="1"/>
    <col min="4" max="4" width="9.77734375" bestFit="1" customWidth="1"/>
    <col min="5" max="5" width="9.5546875" customWidth="1"/>
    <col min="6" max="6" width="10.44140625" customWidth="1"/>
    <col min="7" max="7" width="10.21875" customWidth="1"/>
    <col min="8" max="8" width="11.5546875" customWidth="1"/>
    <col min="9" max="9" width="12.109375" bestFit="1" customWidth="1"/>
    <col min="10" max="10" width="12.33203125" customWidth="1"/>
    <col min="11" max="11" width="16.44140625" customWidth="1"/>
  </cols>
  <sheetData>
    <row r="1" spans="1:1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47</v>
      </c>
      <c r="J1" s="2" t="s">
        <v>52</v>
      </c>
      <c r="K1" s="3" t="s">
        <v>8</v>
      </c>
    </row>
    <row r="2" spans="1:11" x14ac:dyDescent="0.3">
      <c r="A2" s="4">
        <v>1001</v>
      </c>
      <c r="B2" s="5">
        <v>45292</v>
      </c>
      <c r="C2" s="6" t="s">
        <v>9</v>
      </c>
      <c r="D2" s="6" t="s">
        <v>10</v>
      </c>
      <c r="E2" s="6" t="s">
        <v>11</v>
      </c>
      <c r="F2" s="6" t="s">
        <v>12</v>
      </c>
      <c r="G2" s="6">
        <v>1</v>
      </c>
      <c r="H2" s="6">
        <v>55000</v>
      </c>
      <c r="I2" s="6" t="str">
        <f>IF(ProductTable[[#This Row],[Unit_Price]]&gt;=20000,"High","Low")</f>
        <v>High</v>
      </c>
      <c r="J2" s="6">
        <v>55000</v>
      </c>
      <c r="K2" s="7" t="s">
        <v>13</v>
      </c>
    </row>
    <row r="3" spans="1:11" x14ac:dyDescent="0.3">
      <c r="A3" s="4">
        <v>1002</v>
      </c>
      <c r="B3" s="5">
        <v>45352</v>
      </c>
      <c r="C3" s="6" t="s">
        <v>14</v>
      </c>
      <c r="D3" s="6" t="s">
        <v>15</v>
      </c>
      <c r="E3" s="6" t="s">
        <v>16</v>
      </c>
      <c r="F3" s="6" t="s">
        <v>12</v>
      </c>
      <c r="G3" s="6">
        <v>2</v>
      </c>
      <c r="H3" s="6">
        <v>15000</v>
      </c>
      <c r="I3" s="6" t="str">
        <f>IF(ProductTable[[#This Row],[Unit_Price]]&gt;=20000,"High","Low")</f>
        <v>Low</v>
      </c>
      <c r="J3" s="6">
        <v>30000</v>
      </c>
      <c r="K3" s="7" t="s">
        <v>17</v>
      </c>
    </row>
    <row r="4" spans="1:11" x14ac:dyDescent="0.3">
      <c r="A4" s="4">
        <v>1003</v>
      </c>
      <c r="B4" s="5">
        <v>45413</v>
      </c>
      <c r="C4" s="6" t="s">
        <v>18</v>
      </c>
      <c r="D4" s="6" t="s">
        <v>19</v>
      </c>
      <c r="E4" s="6" t="s">
        <v>20</v>
      </c>
      <c r="F4" s="6" t="s">
        <v>21</v>
      </c>
      <c r="G4" s="6">
        <v>1</v>
      </c>
      <c r="H4" s="6">
        <v>7000</v>
      </c>
      <c r="I4" s="6" t="str">
        <f>IF(ProductTable[[#This Row],[Unit_Price]]&gt;=20000,"High","Low")</f>
        <v>Low</v>
      </c>
      <c r="J4" s="6">
        <v>7000</v>
      </c>
      <c r="K4" s="7" t="s">
        <v>22</v>
      </c>
    </row>
    <row r="5" spans="1:11" x14ac:dyDescent="0.3">
      <c r="A5" s="4">
        <v>1004</v>
      </c>
      <c r="B5" s="5">
        <v>45474</v>
      </c>
      <c r="C5" s="6" t="s">
        <v>23</v>
      </c>
      <c r="D5" s="6" t="s">
        <v>10</v>
      </c>
      <c r="E5" s="6" t="s">
        <v>24</v>
      </c>
      <c r="F5" s="6" t="s">
        <v>21</v>
      </c>
      <c r="G5" s="6">
        <v>4</v>
      </c>
      <c r="H5" s="6">
        <v>1500</v>
      </c>
      <c r="I5" s="6" t="str">
        <f>IF(ProductTable[[#This Row],[Unit_Price]]&gt;=20000,"High","Low")</f>
        <v>Low</v>
      </c>
      <c r="J5" s="6">
        <v>6000</v>
      </c>
      <c r="K5" s="7" t="s">
        <v>13</v>
      </c>
    </row>
    <row r="6" spans="1:11" x14ac:dyDescent="0.3">
      <c r="A6" s="4">
        <v>1005</v>
      </c>
      <c r="B6" s="5">
        <v>45566</v>
      </c>
      <c r="C6" s="6" t="s">
        <v>25</v>
      </c>
      <c r="D6" s="6" t="s">
        <v>26</v>
      </c>
      <c r="E6" s="6" t="s">
        <v>27</v>
      </c>
      <c r="F6" s="6" t="s">
        <v>12</v>
      </c>
      <c r="G6" s="6">
        <v>3</v>
      </c>
      <c r="H6" s="6">
        <v>2000</v>
      </c>
      <c r="I6" s="6" t="str">
        <f>IF(ProductTable[[#This Row],[Unit_Price]]&gt;=20000,"High","Low")</f>
        <v>Low</v>
      </c>
      <c r="J6" s="6">
        <v>6000</v>
      </c>
      <c r="K6" s="7" t="s">
        <v>17</v>
      </c>
    </row>
    <row r="7" spans="1:11" x14ac:dyDescent="0.3">
      <c r="A7" s="4">
        <v>1006</v>
      </c>
      <c r="B7" s="5">
        <v>45627</v>
      </c>
      <c r="C7" s="6" t="s">
        <v>28</v>
      </c>
      <c r="D7" s="6" t="s">
        <v>10</v>
      </c>
      <c r="E7" s="6" t="s">
        <v>16</v>
      </c>
      <c r="F7" s="6" t="s">
        <v>12</v>
      </c>
      <c r="G7" s="6">
        <v>1</v>
      </c>
      <c r="H7" s="6">
        <v>15000</v>
      </c>
      <c r="I7" s="6" t="str">
        <f>IF(ProductTable[[#This Row],[Unit_Price]]&gt;=20000,"High","Low")</f>
        <v>Low</v>
      </c>
      <c r="J7" s="6">
        <v>15000</v>
      </c>
      <c r="K7" s="7" t="s">
        <v>22</v>
      </c>
    </row>
    <row r="8" spans="1:11" x14ac:dyDescent="0.3">
      <c r="A8" s="4">
        <v>1007</v>
      </c>
      <c r="B8" s="6" t="s">
        <v>29</v>
      </c>
      <c r="C8" s="6" t="s">
        <v>30</v>
      </c>
      <c r="D8" s="6" t="s">
        <v>15</v>
      </c>
      <c r="E8" s="6" t="s">
        <v>11</v>
      </c>
      <c r="F8" s="6" t="s">
        <v>12</v>
      </c>
      <c r="G8" s="6">
        <v>1</v>
      </c>
      <c r="H8" s="6">
        <v>60000</v>
      </c>
      <c r="I8" s="6" t="str">
        <f>IF(ProductTable[[#This Row],[Unit_Price]]&gt;=20000,"High","Low")</f>
        <v>High</v>
      </c>
      <c r="J8" s="6">
        <v>60000</v>
      </c>
      <c r="K8" s="7" t="s">
        <v>13</v>
      </c>
    </row>
    <row r="9" spans="1:11" x14ac:dyDescent="0.3">
      <c r="A9" s="4">
        <v>1008</v>
      </c>
      <c r="B9" s="6" t="s">
        <v>31</v>
      </c>
      <c r="C9" s="6" t="s">
        <v>32</v>
      </c>
      <c r="D9" s="6" t="s">
        <v>19</v>
      </c>
      <c r="E9" s="6" t="s">
        <v>33</v>
      </c>
      <c r="F9" s="6" t="s">
        <v>21</v>
      </c>
      <c r="G9" s="6">
        <v>1</v>
      </c>
      <c r="H9" s="6">
        <v>25000</v>
      </c>
      <c r="I9" s="6" t="str">
        <f>IF(ProductTable[[#This Row],[Unit_Price]]&gt;=20000,"High","Low")</f>
        <v>High</v>
      </c>
      <c r="J9" s="6">
        <v>25000</v>
      </c>
      <c r="K9" s="7" t="s">
        <v>17</v>
      </c>
    </row>
    <row r="10" spans="1:11" x14ac:dyDescent="0.3">
      <c r="A10" s="4">
        <v>1009</v>
      </c>
      <c r="B10" s="6" t="s">
        <v>34</v>
      </c>
      <c r="C10" s="6" t="s">
        <v>35</v>
      </c>
      <c r="D10" s="6" t="s">
        <v>26</v>
      </c>
      <c r="E10" s="6" t="s">
        <v>36</v>
      </c>
      <c r="F10" s="6" t="s">
        <v>12</v>
      </c>
      <c r="G10" s="6">
        <v>2</v>
      </c>
      <c r="H10" s="6">
        <v>20000</v>
      </c>
      <c r="I10" s="6" t="str">
        <f>IF(ProductTable[[#This Row],[Unit_Price]]&gt;=20000,"High","Low")</f>
        <v>High</v>
      </c>
      <c r="J10" s="6">
        <v>40000</v>
      </c>
      <c r="K10" s="7" t="s">
        <v>13</v>
      </c>
    </row>
    <row r="11" spans="1:11" ht="15" thickBot="1" x14ac:dyDescent="0.35">
      <c r="A11" s="8">
        <v>1010</v>
      </c>
      <c r="B11" s="9" t="s">
        <v>37</v>
      </c>
      <c r="C11" s="9" t="s">
        <v>38</v>
      </c>
      <c r="D11" s="9" t="s">
        <v>10</v>
      </c>
      <c r="E11" s="9" t="s">
        <v>24</v>
      </c>
      <c r="F11" s="9" t="s">
        <v>21</v>
      </c>
      <c r="G11" s="9">
        <v>2</v>
      </c>
      <c r="H11" s="9">
        <v>1500</v>
      </c>
      <c r="I11" s="9" t="str">
        <f>IF(ProductTable[[#This Row],[Unit_Price]]&gt;=20000,"High","Low")</f>
        <v>Low</v>
      </c>
      <c r="J11" s="9">
        <v>3000</v>
      </c>
      <c r="K11" s="10" t="s">
        <v>22</v>
      </c>
    </row>
    <row r="14" spans="1:11" x14ac:dyDescent="0.3">
      <c r="A14" s="11" t="s">
        <v>40</v>
      </c>
      <c r="B14" s="12"/>
      <c r="C14" s="12"/>
    </row>
    <row r="15" spans="1:11" x14ac:dyDescent="0.3">
      <c r="A15" s="12"/>
      <c r="B15" s="17" t="s">
        <v>50</v>
      </c>
      <c r="C15" s="15">
        <f>SUM(H:H)</f>
        <v>202000</v>
      </c>
    </row>
    <row r="16" spans="1:11" x14ac:dyDescent="0.3">
      <c r="A16" s="12"/>
      <c r="B16" s="17" t="s">
        <v>51</v>
      </c>
      <c r="C16" s="15">
        <f>SUM(J:J)</f>
        <v>247000</v>
      </c>
      <c r="D16" s="14"/>
    </row>
    <row r="17" spans="1:3" x14ac:dyDescent="0.3">
      <c r="A17" s="11" t="s">
        <v>41</v>
      </c>
      <c r="B17" s="12"/>
      <c r="C17" s="12"/>
    </row>
    <row r="18" spans="1:3" x14ac:dyDescent="0.3">
      <c r="A18" s="12"/>
      <c r="B18" s="17" t="s">
        <v>46</v>
      </c>
      <c r="C18" s="16">
        <f>MIN(H:H)</f>
        <v>1500</v>
      </c>
    </row>
    <row r="19" spans="1:3" x14ac:dyDescent="0.3">
      <c r="A19" s="12"/>
      <c r="B19" s="17" t="s">
        <v>45</v>
      </c>
      <c r="C19" s="16">
        <f>MAX(H:H)</f>
        <v>60000</v>
      </c>
    </row>
    <row r="20" spans="1:3" x14ac:dyDescent="0.3">
      <c r="A20" s="12"/>
      <c r="B20" s="12"/>
      <c r="C20" s="12"/>
    </row>
    <row r="21" spans="1:3" x14ac:dyDescent="0.3">
      <c r="A21" s="11" t="s">
        <v>42</v>
      </c>
      <c r="B21" s="12"/>
      <c r="C21" s="12"/>
    </row>
    <row r="22" spans="1:3" x14ac:dyDescent="0.3">
      <c r="A22" s="12"/>
      <c r="B22" s="17" t="s">
        <v>53</v>
      </c>
      <c r="C22" s="16">
        <f>AVERAGE(J:J)</f>
        <v>24700</v>
      </c>
    </row>
    <row r="23" spans="1:3" x14ac:dyDescent="0.3">
      <c r="A23" s="12"/>
      <c r="B23" s="12"/>
      <c r="C23" s="12"/>
    </row>
    <row r="24" spans="1:3" x14ac:dyDescent="0.3">
      <c r="A24" s="11" t="s">
        <v>43</v>
      </c>
      <c r="B24" s="12"/>
      <c r="C24" s="12"/>
    </row>
    <row r="25" spans="1:3" x14ac:dyDescent="0.3">
      <c r="A25" s="12"/>
      <c r="C25" s="12" t="s">
        <v>48</v>
      </c>
    </row>
    <row r="26" spans="1:3" x14ac:dyDescent="0.3">
      <c r="A26" s="11" t="s">
        <v>44</v>
      </c>
      <c r="B26" s="12"/>
      <c r="C26" s="12"/>
    </row>
    <row r="27" spans="1:3" x14ac:dyDescent="0.3">
      <c r="A27" s="12"/>
      <c r="B27" s="17" t="s">
        <v>49</v>
      </c>
      <c r="C27" s="15">
        <f>COUNT(H:H)</f>
        <v>10</v>
      </c>
    </row>
    <row r="28" spans="1:3" x14ac:dyDescent="0.3">
      <c r="A28" s="12"/>
      <c r="B28" s="12"/>
      <c r="C28" s="13" t="s">
        <v>39</v>
      </c>
    </row>
    <row r="29" spans="1:3" x14ac:dyDescent="0.3">
      <c r="A29" s="12"/>
      <c r="B29" s="12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Task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selvarajrekaa@gmail.com</cp:lastModifiedBy>
  <dcterms:created xsi:type="dcterms:W3CDTF">2026-02-15T11:23:59Z</dcterms:created>
  <dcterms:modified xsi:type="dcterms:W3CDTF">2026-03-03T05:46:36Z</dcterms:modified>
</cp:coreProperties>
</file>